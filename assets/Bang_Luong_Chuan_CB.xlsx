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Lương Tổng Hợ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97D"/>
      <sz val="16"/>
    </font>
    <font>
      <name val="Arial"/>
      <i val="1"/>
      <sz val="11"/>
    </font>
    <font>
      <name val="Arial"/>
      <b val="1"/>
      <color rgb="00000000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3" fontId="4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3" fontId="5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3" customWidth="1" min="4" max="4"/>
    <col width="19" customWidth="1" min="5" max="5"/>
    <col width="18" customWidth="1" min="6" max="6"/>
    <col width="20" customWidth="1" min="7" max="7"/>
    <col width="26" customWidth="1" min="8" max="8"/>
    <col width="22" customWidth="1" min="9" max="9"/>
    <col width="18" customWidth="1" min="10" max="10"/>
    <col width="21" customWidth="1" min="11" max="11"/>
    <col width="16" customWidth="1" min="12" max="12"/>
    <col width="20" customWidth="1" min="13" max="13"/>
    <col width="21" customWidth="1" min="14" max="14"/>
    <col width="20" customWidth="1" min="15" max="15"/>
    <col width="19" customWidth="1" min="16" max="16"/>
    <col width="20" customWidth="1" min="17" max="17"/>
    <col width="21" customWidth="1" min="18" max="18"/>
    <col width="24" customWidth="1" min="19" max="19"/>
    <col width="26" customWidth="1" min="20" max="20"/>
    <col width="111" customWidth="1" min="21" max="21"/>
    <col width="14" customWidth="1" min="22" max="22"/>
    <col width="15" customWidth="1" min="23" max="23"/>
    <col width="14" customWidth="1" min="24" max="24"/>
  </cols>
  <sheetData>
    <row r="1" ht="40" customHeight="1">
      <c r="A1" s="1" t="inlineStr">
        <is>
          <t>BẢNG TÍNH LƯƠNG VÀ CÁC KHOẢN TRÍCH THEO LƯƠNG</t>
        </is>
      </c>
    </row>
    <row r="2" ht="20" customHeight="1">
      <c r="A2" s="2" t="inlineStr">
        <is>
          <t>Tháng: ...... / 2026</t>
        </is>
      </c>
    </row>
    <row r="3"/>
    <row r="4" ht="28" customHeight="1">
      <c r="A4" s="3" t="inlineStr">
        <is>
          <t>Mã NV</t>
        </is>
      </c>
      <c r="B4" s="3" t="inlineStr">
        <is>
          <t>Họ và Tên</t>
        </is>
      </c>
      <c r="C4" s="3" t="inlineStr">
        <is>
          <t>Chức Vụ</t>
        </is>
      </c>
      <c r="D4" s="3" t="inlineStr">
        <is>
          <t>Bộ Phận</t>
        </is>
      </c>
      <c r="E4" s="4" t="inlineStr">
        <is>
          <t>Lương Thỏa Thuận</t>
        </is>
      </c>
      <c r="F4" s="4" t="inlineStr">
        <is>
          <t>Ngày Công Chuẩn</t>
        </is>
      </c>
      <c r="G4" s="4" t="inlineStr">
        <is>
          <t>Ngày Công Thực Tế</t>
        </is>
      </c>
      <c r="H4" s="4" t="inlineStr">
        <is>
          <t>Lương Thực Tế Theo Công</t>
        </is>
      </c>
      <c r="I4" s="4" t="inlineStr">
        <is>
          <t>Phụ Cấp Trách Nhiệm</t>
        </is>
      </c>
      <c r="J4" s="4" t="inlineStr">
        <is>
          <t>Phụ Cấp Ăn Trưa</t>
        </is>
      </c>
      <c r="K4" s="4" t="inlineStr">
        <is>
          <t>Phụ Cấp Điện Thoại</t>
        </is>
      </c>
      <c r="L4" s="4" t="inlineStr">
        <is>
          <t>Tổng Thu Nhập</t>
        </is>
      </c>
      <c r="M4" s="5" t="inlineStr">
        <is>
          <t>BHXH (8%)</t>
        </is>
      </c>
      <c r="N4" s="5" t="inlineStr">
        <is>
          <t>BHYT (1.5%)</t>
        </is>
      </c>
      <c r="O4" s="5" t="inlineStr">
        <is>
          <t>BHTN (1%)</t>
        </is>
      </c>
      <c r="P4" s="5" t="inlineStr">
        <is>
          <t>Tổng Giảm Trừ BH</t>
        </is>
      </c>
      <c r="Q4" s="5" t="inlineStr">
        <is>
          <t>Giảm Trừ Bản Thân</t>
        </is>
      </c>
      <c r="R4" s="5" t="inlineStr">
        <is>
          <t>Số Người Phụ Thuộc</t>
        </is>
      </c>
      <c r="S4" s="5" t="inlineStr">
        <is>
          <t>Giảm Trừ Gia Cảnh NPT</t>
        </is>
      </c>
      <c r="T4" s="5" t="inlineStr">
        <is>
          <t>Thu Nhập Tính Thuế</t>
        </is>
      </c>
      <c r="U4" s="5" t="inlineStr">
        <is>
          <t>Thuế TNCN</t>
        </is>
      </c>
      <c r="V4" s="6" t="inlineStr">
        <is>
          <t>Tạm Ứng</t>
        </is>
      </c>
      <c r="W4" s="6" t="inlineStr">
        <is>
          <t>Thực Lĩnh</t>
        </is>
      </c>
      <c r="X4" s="6" t="inlineStr">
        <is>
          <t>Ký Nhận</t>
        </is>
      </c>
    </row>
    <row r="5" ht="22" customHeight="1">
      <c r="A5" s="7" t="inlineStr">
        <is>
          <t>NV001</t>
        </is>
      </c>
      <c r="B5" s="8" t="inlineStr">
        <is>
          <t>Nguyễn Văn A</t>
        </is>
      </c>
      <c r="C5" s="7" t="inlineStr">
        <is>
          <t>Trưởng Phòng</t>
        </is>
      </c>
      <c r="D5" s="7" t="inlineStr">
        <is>
          <t>Kinh Doanh</t>
        </is>
      </c>
      <c r="E5" s="9" t="n">
        <v>25000000</v>
      </c>
      <c r="F5" s="10" t="n">
        <v>26</v>
      </c>
      <c r="G5" s="10" t="n">
        <v>26</v>
      </c>
      <c r="H5" s="11">
        <f>ROUND(E5/F5*G5,0)</f>
        <v/>
      </c>
      <c r="I5" s="9" t="n">
        <v>2000000</v>
      </c>
      <c r="J5" s="9" t="n">
        <v>730000</v>
      </c>
      <c r="K5" s="9" t="n">
        <v>500000</v>
      </c>
      <c r="L5" s="11">
        <f>SUM(H5:K5)</f>
        <v/>
      </c>
      <c r="M5" s="11">
        <f>ROUND(E5*0.08,0)</f>
        <v/>
      </c>
      <c r="N5" s="11">
        <f>ROUND(E5*0.015,0)</f>
        <v/>
      </c>
      <c r="O5" s="11">
        <f>ROUND(E5*0.01,0)</f>
        <v/>
      </c>
      <c r="P5" s="11">
        <f>SUM(M5:O5)</f>
        <v/>
      </c>
      <c r="Q5" s="9" t="n">
        <v>11000000</v>
      </c>
      <c r="R5" s="10" t="n">
        <v>1</v>
      </c>
      <c r="S5" s="11">
        <f>R5*4400000</f>
        <v/>
      </c>
      <c r="T5" s="11">
        <f>MAX(0, L5-J5-P5-Q5-S5)</f>
        <v/>
      </c>
      <c r="U5" s="11">
        <f>IF(T5&lt;=5000000, T5*0.05, IF(T5&lt;=10000000, T5*0.1-250000, IF(T5&lt;=18000000, T5*0.15-750000, T5*0.2-1650000)))</f>
        <v/>
      </c>
      <c r="V5" s="9" t="n">
        <v>0</v>
      </c>
      <c r="W5" s="11">
        <f>L5-P5-U5-V5</f>
        <v/>
      </c>
      <c r="X5" s="12" t="n"/>
    </row>
    <row r="6" ht="22" customHeight="1">
      <c r="A6" s="7" t="inlineStr">
        <is>
          <t>NV002</t>
        </is>
      </c>
      <c r="B6" s="8" t="inlineStr">
        <is>
          <t>Trần Thị B</t>
        </is>
      </c>
      <c r="C6" s="7" t="inlineStr">
        <is>
          <t>Chuyên Viên</t>
        </is>
      </c>
      <c r="D6" s="7" t="inlineStr">
        <is>
          <t>Nhân Sự</t>
        </is>
      </c>
      <c r="E6" s="9" t="n">
        <v>15000000</v>
      </c>
      <c r="F6" s="10" t="n">
        <v>26</v>
      </c>
      <c r="G6" s="10" t="n">
        <v>25</v>
      </c>
      <c r="H6" s="11">
        <f>ROUND(E6/F6*G6,0)</f>
        <v/>
      </c>
      <c r="I6" s="9" t="n">
        <v>0</v>
      </c>
      <c r="J6" s="9" t="n">
        <v>730000</v>
      </c>
      <c r="K6" s="9" t="n">
        <v>300000</v>
      </c>
      <c r="L6" s="11">
        <f>SUM(H6:K6)</f>
        <v/>
      </c>
      <c r="M6" s="11">
        <f>ROUND(E6*0.08,0)</f>
        <v/>
      </c>
      <c r="N6" s="11">
        <f>ROUND(E6*0.015,0)</f>
        <v/>
      </c>
      <c r="O6" s="11">
        <f>ROUND(E6*0.01,0)</f>
        <v/>
      </c>
      <c r="P6" s="11">
        <f>SUM(M6:O6)</f>
        <v/>
      </c>
      <c r="Q6" s="9" t="n">
        <v>11000000</v>
      </c>
      <c r="R6" s="10" t="n">
        <v>0</v>
      </c>
      <c r="S6" s="11">
        <f>R6*4400000</f>
        <v/>
      </c>
      <c r="T6" s="11">
        <f>MAX(0, L6-J6-P6-Q6-S6)</f>
        <v/>
      </c>
      <c r="U6" s="11">
        <f>IF(T6&lt;=5000000, T6*0.05, IF(T6&lt;=10000000, T6*0.1-250000, IF(T6&lt;=18000000, T6*0.15-750000, T6*0.2-1650000)))</f>
        <v/>
      </c>
      <c r="V6" s="9" t="n">
        <v>1000000</v>
      </c>
      <c r="W6" s="11">
        <f>L6-P6-U6-V6</f>
        <v/>
      </c>
      <c r="X6" s="12" t="n"/>
    </row>
    <row r="7" ht="22" customHeight="1">
      <c r="A7" s="7" t="inlineStr">
        <is>
          <t>NV003</t>
        </is>
      </c>
      <c r="B7" s="8" t="inlineStr">
        <is>
          <t>Lê Văn C</t>
        </is>
      </c>
      <c r="C7" s="7" t="inlineStr">
        <is>
          <t>Nhân Viên</t>
        </is>
      </c>
      <c r="D7" s="7" t="inlineStr">
        <is>
          <t>Kỹ Thuật</t>
        </is>
      </c>
      <c r="E7" s="9" t="n">
        <v>12000000</v>
      </c>
      <c r="F7" s="10" t="n">
        <v>26</v>
      </c>
      <c r="G7" s="10" t="n">
        <v>26</v>
      </c>
      <c r="H7" s="11">
        <f>ROUND(E7/F7*G7,0)</f>
        <v/>
      </c>
      <c r="I7" s="9" t="n">
        <v>0</v>
      </c>
      <c r="J7" s="9" t="n">
        <v>730000</v>
      </c>
      <c r="K7" s="9" t="n">
        <v>300000</v>
      </c>
      <c r="L7" s="11">
        <f>SUM(H7:K7)</f>
        <v/>
      </c>
      <c r="M7" s="11">
        <f>ROUND(E7*0.08,0)</f>
        <v/>
      </c>
      <c r="N7" s="11">
        <f>ROUND(E7*0.015,0)</f>
        <v/>
      </c>
      <c r="O7" s="11">
        <f>ROUND(E7*0.01,0)</f>
        <v/>
      </c>
      <c r="P7" s="11">
        <f>SUM(M7:O7)</f>
        <v/>
      </c>
      <c r="Q7" s="9" t="n">
        <v>11000000</v>
      </c>
      <c r="R7" s="10" t="n">
        <v>2</v>
      </c>
      <c r="S7" s="11">
        <f>R7*4400000</f>
        <v/>
      </c>
      <c r="T7" s="11">
        <f>MAX(0, L7-J7-P7-Q7-S7)</f>
        <v/>
      </c>
      <c r="U7" s="11">
        <f>IF(T7&lt;=5000000, T7*0.05, IF(T7&lt;=10000000, T7*0.1-250000, IF(T7&lt;=18000000, T7*0.15-750000, T7*0.2-1650000)))</f>
        <v/>
      </c>
      <c r="V7" s="9" t="n">
        <v>0</v>
      </c>
      <c r="W7" s="11">
        <f>L7-P7-U7-V7</f>
        <v/>
      </c>
      <c r="X7" s="12" t="n"/>
    </row>
    <row r="8" ht="22" customHeight="1">
      <c r="A8" s="7" t="inlineStr">
        <is>
          <t>NV004</t>
        </is>
      </c>
      <c r="B8" s="8" t="inlineStr">
        <is>
          <t>Phạm Thị D</t>
        </is>
      </c>
      <c r="C8" s="7" t="inlineStr">
        <is>
          <t>Chuyên Viên</t>
        </is>
      </c>
      <c r="D8" s="7" t="inlineStr">
        <is>
          <t>Marketing</t>
        </is>
      </c>
      <c r="E8" s="9" t="n">
        <v>18000000</v>
      </c>
      <c r="F8" s="10" t="n">
        <v>26</v>
      </c>
      <c r="G8" s="10" t="n">
        <v>24</v>
      </c>
      <c r="H8" s="11">
        <f>ROUND(E8/F8*G8,0)</f>
        <v/>
      </c>
      <c r="I8" s="9" t="n">
        <v>1000000</v>
      </c>
      <c r="J8" s="9" t="n">
        <v>730000</v>
      </c>
      <c r="K8" s="9" t="n">
        <v>300000</v>
      </c>
      <c r="L8" s="11">
        <f>SUM(H8:K8)</f>
        <v/>
      </c>
      <c r="M8" s="11">
        <f>ROUND(E8*0.08,0)</f>
        <v/>
      </c>
      <c r="N8" s="11">
        <f>ROUND(E8*0.015,0)</f>
        <v/>
      </c>
      <c r="O8" s="11">
        <f>ROUND(E8*0.01,0)</f>
        <v/>
      </c>
      <c r="P8" s="11">
        <f>SUM(M8:O8)</f>
        <v/>
      </c>
      <c r="Q8" s="9" t="n">
        <v>11000000</v>
      </c>
      <c r="R8" s="10" t="n">
        <v>0</v>
      </c>
      <c r="S8" s="11">
        <f>R8*4400000</f>
        <v/>
      </c>
      <c r="T8" s="11">
        <f>MAX(0, L8-J8-P8-Q8-S8)</f>
        <v/>
      </c>
      <c r="U8" s="11">
        <f>IF(T8&lt;=5000000, T8*0.05, IF(T8&lt;=10000000, T8*0.1-250000, IF(T8&lt;=18000000, T8*0.15-750000, T8*0.2-1650000)))</f>
        <v/>
      </c>
      <c r="V8" s="9" t="n">
        <v>0</v>
      </c>
      <c r="W8" s="11">
        <f>L8-P8-U8-V8</f>
        <v/>
      </c>
      <c r="X8" s="12" t="n"/>
    </row>
    <row r="9" ht="22" customHeight="1">
      <c r="A9" s="7" t="inlineStr">
        <is>
          <t>NV005</t>
        </is>
      </c>
      <c r="B9" s="8" t="inlineStr">
        <is>
          <t>Hoàng Văn E</t>
        </is>
      </c>
      <c r="C9" s="7" t="inlineStr">
        <is>
          <t>Nhân Viên</t>
        </is>
      </c>
      <c r="D9" s="7" t="inlineStr">
        <is>
          <t>Kế Toán</t>
        </is>
      </c>
      <c r="E9" s="9" t="n">
        <v>10000000</v>
      </c>
      <c r="F9" s="10" t="n">
        <v>26</v>
      </c>
      <c r="G9" s="10" t="n">
        <v>26</v>
      </c>
      <c r="H9" s="11">
        <f>ROUND(E9/F9*G9,0)</f>
        <v/>
      </c>
      <c r="I9" s="9" t="n">
        <v>0</v>
      </c>
      <c r="J9" s="9" t="n">
        <v>730000</v>
      </c>
      <c r="K9" s="9" t="n">
        <v>300000</v>
      </c>
      <c r="L9" s="11">
        <f>SUM(H9:K9)</f>
        <v/>
      </c>
      <c r="M9" s="11">
        <f>ROUND(E9*0.08,0)</f>
        <v/>
      </c>
      <c r="N9" s="11">
        <f>ROUND(E9*0.015,0)</f>
        <v/>
      </c>
      <c r="O9" s="11">
        <f>ROUND(E9*0.01,0)</f>
        <v/>
      </c>
      <c r="P9" s="11">
        <f>SUM(M9:O9)</f>
        <v/>
      </c>
      <c r="Q9" s="9" t="n">
        <v>11000000</v>
      </c>
      <c r="R9" s="10" t="n">
        <v>1</v>
      </c>
      <c r="S9" s="11">
        <f>R9*4400000</f>
        <v/>
      </c>
      <c r="T9" s="11">
        <f>MAX(0, L9-J9-P9-Q9-S9)</f>
        <v/>
      </c>
      <c r="U9" s="11">
        <f>IF(T9&lt;=5000000, T9*0.05, IF(T9&lt;=10000000, T9*0.1-250000, IF(T9&lt;=18000000, T9*0.15-750000, T9*0.2-1650000)))</f>
        <v/>
      </c>
      <c r="V9" s="9" t="n">
        <v>0</v>
      </c>
      <c r="W9" s="11">
        <f>L9-P9-U9-V9</f>
        <v/>
      </c>
      <c r="X9" s="12" t="n"/>
    </row>
    <row r="10" ht="24" customHeight="1">
      <c r="A10" s="13" t="inlineStr">
        <is>
          <t>Tổng cộng</t>
        </is>
      </c>
      <c r="B10" s="14" t="n"/>
      <c r="C10" s="14" t="n"/>
      <c r="D10" s="15" t="n"/>
      <c r="E10" s="16">
        <f>SUM(E5:E9)</f>
        <v/>
      </c>
      <c r="F10" s="17" t="inlineStr"/>
      <c r="G10" s="17" t="inlineStr"/>
      <c r="H10" s="16">
        <f>SUM(H5:H9)</f>
        <v/>
      </c>
      <c r="I10" s="16">
        <f>SUM(I5:I9)</f>
        <v/>
      </c>
      <c r="J10" s="16">
        <f>SUM(J5:J9)</f>
        <v/>
      </c>
      <c r="K10" s="16">
        <f>SUM(K5:K9)</f>
        <v/>
      </c>
      <c r="L10" s="16">
        <f>SUM(L5:L9)</f>
        <v/>
      </c>
      <c r="M10" s="16">
        <f>SUM(M5:M9)</f>
        <v/>
      </c>
      <c r="N10" s="16">
        <f>SUM(N5:N9)</f>
        <v/>
      </c>
      <c r="O10" s="16">
        <f>SUM(O5:O9)</f>
        <v/>
      </c>
      <c r="P10" s="16">
        <f>SUM(P5:P9)</f>
        <v/>
      </c>
      <c r="Q10" s="16">
        <f>SUM(Q5:Q9)</f>
        <v/>
      </c>
      <c r="R10" s="17">
        <f>SUM(R5:R9)</f>
        <v/>
      </c>
      <c r="S10" s="16">
        <f>SUM(S5:S9)</f>
        <v/>
      </c>
      <c r="T10" s="16">
        <f>SUM(T5:T9)</f>
        <v/>
      </c>
      <c r="U10" s="16">
        <f>SUM(U5:U9)</f>
        <v/>
      </c>
      <c r="V10" s="16">
        <f>SUM(V5:V9)</f>
        <v/>
      </c>
      <c r="W10" s="16">
        <f>SUM(W5:W9)</f>
        <v/>
      </c>
      <c r="X10" s="16">
        <f>SUM(X5:X9)</f>
        <v/>
      </c>
    </row>
  </sheetData>
  <mergeCells count="3">
    <mergeCell ref="A10:D10"/>
    <mergeCell ref="A2:X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2026-09-04T03:25:02Z</dcterms:created>
  <dcterms:modified xmlns:dcterms="http://purl.org/dc/terms/" xmlns:xsi="http://www.w3.org/2001/XMLSchema-instance" xsi:type="dcterms:W3CDTF">2026-09-04T03:25:02Z</dcterms:modified>
</cp:coreProperties>
</file>